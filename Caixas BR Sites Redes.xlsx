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F-Caixanome-SiteOficial-Social" sheetId="1" r:id="rId5"/>
    <sheet state="visible" name="Sheet4" sheetId="2" r:id="rId6"/>
    <sheet state="visible" name="Numero de advogados" sheetId="3" r:id="rId7"/>
    <sheet state="visible" name="Sheet1" sheetId="4" r:id="rId8"/>
  </sheets>
  <definedNames>
    <definedName hidden="1" localSheetId="0" name="_xlnm._FilterDatabase">'UF-Caixanome-SiteOficial-Social'!$A$1:$M$1000</definedName>
    <definedName hidden="1" localSheetId="2" name="_xlnm._FilterDatabase">'Numero de advogados'!$A$1:$B$997</definedName>
  </definedNames>
  <calcPr/>
</workbook>
</file>

<file path=xl/sharedStrings.xml><?xml version="1.0" encoding="utf-8"?>
<sst xmlns="http://schemas.openxmlformats.org/spreadsheetml/2006/main" count="328" uniqueCount="169">
  <si>
    <t>UF</t>
  </si>
  <si>
    <t>Região Cor</t>
  </si>
  <si>
    <t>Caixa (nome)</t>
  </si>
  <si>
    <t>Site Oficial</t>
  </si>
  <si>
    <t>Social 1 (Instagram)</t>
  </si>
  <si>
    <t>Social 2 (Facebook)</t>
  </si>
  <si>
    <t>Social 3 (X/Twitter)</t>
  </si>
  <si>
    <t>Social 4 (YouTube/Outro)</t>
  </si>
  <si>
    <t>PR</t>
  </si>
  <si>
    <t>#EECF0E</t>
  </si>
  <si>
    <t>CAAPR</t>
  </si>
  <si>
    <t>caapr.org.br</t>
  </si>
  <si>
    <t>@caa_parana</t>
  </si>
  <si>
    <t>🤖</t>
  </si>
  <si>
    <t>caixadosadvogadosPR</t>
  </si>
  <si>
    <t>—</t>
  </si>
  <si>
    <t>SC</t>
  </si>
  <si>
    <t>CAASC</t>
  </si>
  <si>
    <t>caasc.org.br</t>
  </si>
  <si>
    <t>@caasc_santacatarina</t>
  </si>
  <si>
    <t>https://www.facebook.com/caasc.sc</t>
  </si>
  <si>
    <t>RS</t>
  </si>
  <si>
    <t>CAARS</t>
  </si>
  <si>
    <t>caars.org.br</t>
  </si>
  <si>
    <t>@caa.rs</t>
  </si>
  <si>
    <t>caars.daoabrs</t>
  </si>
  <si>
    <t>ES</t>
  </si>
  <si>
    <t>#DA2E2C</t>
  </si>
  <si>
    <t>CAAES</t>
  </si>
  <si>
    <t>caaes.org.br</t>
  </si>
  <si>
    <t>@caaes</t>
  </si>
  <si>
    <t>https://www.facebook.com/oabes.espiritosanto/?locale=pt_BR</t>
  </si>
  <si>
    <t>MG</t>
  </si>
  <si>
    <t>CAAMG</t>
  </si>
  <si>
    <t>caamg.org.br</t>
  </si>
  <si>
    <t>@caa_mg</t>
  </si>
  <si>
    <t>caaminas</t>
  </si>
  <si>
    <t>RJ</t>
  </si>
  <si>
    <t>CAARJ</t>
  </si>
  <si>
    <t>caarj.org.br</t>
  </si>
  <si>
    <t>@caarj_oab</t>
  </si>
  <si>
    <t>https://www.instagram.com/oabrjcaarj/</t>
  </si>
  <si>
    <t>caarj</t>
  </si>
  <si>
    <t>SP</t>
  </si>
  <si>
    <t>CAASP</t>
  </si>
  <si>
    <t>caasp.org.br</t>
  </si>
  <si>
    <t>@oabcaasp</t>
  </si>
  <si>
    <t>oabcaasp</t>
  </si>
  <si>
    <t>DF</t>
  </si>
  <si>
    <t>#C45DF5</t>
  </si>
  <si>
    <t>CAADF</t>
  </si>
  <si>
    <t>caadf.org.br</t>
  </si>
  <si>
    <t>@caa.df</t>
  </si>
  <si>
    <t>caixadeassistenciadf</t>
  </si>
  <si>
    <t>GO</t>
  </si>
  <si>
    <t>CASAG</t>
  </si>
  <si>
    <t>casag.org.br</t>
  </si>
  <si>
    <t>@oab_casag</t>
  </si>
  <si>
    <t>casag.go</t>
  </si>
  <si>
    <t>MT</t>
  </si>
  <si>
    <t>CAAMT</t>
  </si>
  <si>
    <t>caamt.com.br</t>
  </si>
  <si>
    <t>@caamt1</t>
  </si>
  <si>
    <t>caaoabmt</t>
  </si>
  <si>
    <t>MS</t>
  </si>
  <si>
    <t>CAAMS</t>
  </si>
  <si>
    <t>caams.org.br</t>
  </si>
  <si>
    <t>@caams.oficial</t>
  </si>
  <si>
    <t>caixadosadvogadosms</t>
  </si>
  <si>
    <t>TO</t>
  </si>
  <si>
    <t>CAATO</t>
  </si>
  <si>
    <t>caato.com.br</t>
  </si>
  <si>
    <t>@caatocantis</t>
  </si>
  <si>
    <t>https://www.instagram.com/caatocantins/</t>
  </si>
  <si>
    <t>caatocantins</t>
  </si>
  <si>
    <t>PB</t>
  </si>
  <si>
    <t>#A36A66</t>
  </si>
  <si>
    <t>CAAPB</t>
  </si>
  <si>
    <t>caapb.org.br</t>
  </si>
  <si>
    <t>@caa_paraiba</t>
  </si>
  <si>
    <t>caapb</t>
  </si>
  <si>
    <t>https://www.facebook.com/CAAParaiba/?locale=pt_BR</t>
  </si>
  <si>
    <t>SE</t>
  </si>
  <si>
    <t>CAASE</t>
  </si>
  <si>
    <t>https://caase.com.br/</t>
  </si>
  <si>
    <t>@caasergipe</t>
  </si>
  <si>
    <t>CAASergipe</t>
  </si>
  <si>
    <t>AL</t>
  </si>
  <si>
    <t>CAAAL</t>
  </si>
  <si>
    <t>caa-al.org.br</t>
  </si>
  <si>
    <t>@caa.al</t>
  </si>
  <si>
    <t>caa.alagoas</t>
  </si>
  <si>
    <t>CE</t>
  </si>
  <si>
    <t>CAACE</t>
  </si>
  <si>
    <t>caace.org.br</t>
  </si>
  <si>
    <t>@caace.oab</t>
  </si>
  <si>
    <t>caace.oab</t>
  </si>
  <si>
    <t>MA</t>
  </si>
  <si>
    <t>CAAMA</t>
  </si>
  <si>
    <t>caama.org.br</t>
  </si>
  <si>
    <t>@caama.oabma</t>
  </si>
  <si>
    <t>Caama</t>
  </si>
  <si>
    <t>http://www.facebook.com/OABMA</t>
  </si>
  <si>
    <t>PE</t>
  </si>
  <si>
    <t>CAAPE</t>
  </si>
  <si>
    <t>caape.org.br</t>
  </si>
  <si>
    <t>@caape_oab</t>
  </si>
  <si>
    <t>caape</t>
  </si>
  <si>
    <t>https://www.facebook.com/CAAPE.OABPE/</t>
  </si>
  <si>
    <t>PI</t>
  </si>
  <si>
    <t>CAAPI</t>
  </si>
  <si>
    <t>caapi.org.br</t>
  </si>
  <si>
    <t>@caapi</t>
  </si>
  <si>
    <t>https://www.instagram.com/caapiaui/</t>
  </si>
  <si>
    <t>caapioab</t>
  </si>
  <si>
    <t>RN</t>
  </si>
  <si>
    <t>CAARN</t>
  </si>
  <si>
    <t>caarn.org.br</t>
  </si>
  <si>
    <t>@caarn.oab</t>
  </si>
  <si>
    <t>caarn.oab</t>
  </si>
  <si>
    <t>BA</t>
  </si>
  <si>
    <t>CAAB</t>
  </si>
  <si>
    <t>caab.org.br</t>
  </si>
  <si>
    <t>@caab_oficial</t>
  </si>
  <si>
    <t>caab.oficial</t>
  </si>
  <si>
    <t>BR</t>
  </si>
  <si>
    <t>#333333</t>
  </si>
  <si>
    <t>CONCAD</t>
  </si>
  <si>
    <t>concad.oab.org.br</t>
  </si>
  <si>
    <t>@concadoficial</t>
  </si>
  <si>
    <t>ConcadOAB</t>
  </si>
  <si>
    <t>https://www.facebook.com/CFOAB</t>
  </si>
  <si>
    <t>LinkedIn</t>
  </si>
  <si>
    <t>AC</t>
  </si>
  <si>
    <t>#31A69B</t>
  </si>
  <si>
    <t>CAAAC</t>
  </si>
  <si>
    <t>caaac.org.br</t>
  </si>
  <si>
    <t>@caaac.oficial</t>
  </si>
  <si>
    <t>caaac.oficial</t>
  </si>
  <si>
    <t>AP</t>
  </si>
  <si>
    <t>CAAAP</t>
  </si>
  <si>
    <t>caaap.org.br</t>
  </si>
  <si>
    <t>@caixadeassistenciadosadv.ap</t>
  </si>
  <si>
    <t>caaamapa</t>
  </si>
  <si>
    <t>AM</t>
  </si>
  <si>
    <t>CAAAM</t>
  </si>
  <si>
    <t>caaam.org.br</t>
  </si>
  <si>
    <t>@caaamazonas</t>
  </si>
  <si>
    <t>caaamazonas</t>
  </si>
  <si>
    <t>PA</t>
  </si>
  <si>
    <t>CAAPA</t>
  </si>
  <si>
    <t>caapara.org.br</t>
  </si>
  <si>
    <t>@caapa.oab</t>
  </si>
  <si>
    <t>https://www.instagram.com/caapa.oab/</t>
  </si>
  <si>
    <t>caapara.oficial</t>
  </si>
  <si>
    <t>https://www.facebook.com/caapa.oab/?locale=pt_BR</t>
  </si>
  <si>
    <t>RO</t>
  </si>
  <si>
    <t>CAARO</t>
  </si>
  <si>
    <t>caaro.org.br</t>
  </si>
  <si>
    <t>@caaro_rondonia</t>
  </si>
  <si>
    <t>caarondonia</t>
  </si>
  <si>
    <t>RR</t>
  </si>
  <si>
    <t>CAARR</t>
  </si>
  <si>
    <t>oabrr.org.br</t>
  </si>
  <si>
    <t>@caarr_oraima</t>
  </si>
  <si>
    <t>https://www.instagram.com/caaroraima/?hl=pt</t>
  </si>
  <si>
    <t>CAARORAIMA</t>
  </si>
  <si>
    <t>Estado</t>
  </si>
  <si>
    <t>Total advs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</si>
</sst>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b/>
      <sz val="11.0"/>
      <color rgb="FF4B4B4C"/>
      <name val="Arial"/>
    </font>
    <font>
      <sz val="11.0"/>
      <color rgb="FF4B4B4C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F9F9F9"/>
      </left>
      <right style="medium">
        <color rgb="FFF9F9F9"/>
      </right>
      <top style="medium">
        <color rgb="FFF9F9F9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2" fontId="1" numFmtId="0" xfId="0" applyFont="1"/>
    <xf borderId="1" fillId="3" fontId="4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advs vs. Estado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'Numero de advogados'!$A$3:$A$28</c:f>
            </c:strRef>
          </c:cat>
          <c:val>
            <c:numRef>
              <c:f>'Numero de advogados'!$B$3:$B$28</c:f>
              <c:numCache/>
            </c:numRef>
          </c:val>
        </c:ser>
        <c:axId val="1753694928"/>
        <c:axId val="390645081"/>
      </c:barChart>
      <c:catAx>
        <c:axId val="175369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0645081"/>
      </c:catAx>
      <c:valAx>
        <c:axId val="390645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advs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36949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723900</xdr:colOff>
      <xdr:row>1</xdr:row>
      <xdr:rowOff>114300</xdr:rowOff>
    </xdr:from>
    <xdr:ext cx="5762625" cy="3562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oabrr.org.br" TargetMode="External"/><Relationship Id="rId20" Type="http://schemas.openxmlformats.org/officeDocument/2006/relationships/hyperlink" Target="https://caase.com.br/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instagram.com/caaroraima/?hl=pt" TargetMode="External"/><Relationship Id="rId22" Type="http://schemas.openxmlformats.org/officeDocument/2006/relationships/hyperlink" Target="http://caace.org.br" TargetMode="External"/><Relationship Id="rId21" Type="http://schemas.openxmlformats.org/officeDocument/2006/relationships/hyperlink" Target="http://caa-al.org.br" TargetMode="External"/><Relationship Id="rId24" Type="http://schemas.openxmlformats.org/officeDocument/2006/relationships/hyperlink" Target="http://www.facebook.com/OABMA" TargetMode="External"/><Relationship Id="rId23" Type="http://schemas.openxmlformats.org/officeDocument/2006/relationships/hyperlink" Target="http://caama.org.br" TargetMode="External"/><Relationship Id="rId1" Type="http://schemas.openxmlformats.org/officeDocument/2006/relationships/hyperlink" Target="http://caapr.org.br" TargetMode="External"/><Relationship Id="rId2" Type="http://schemas.openxmlformats.org/officeDocument/2006/relationships/hyperlink" Target="http://caasc.org.br" TargetMode="External"/><Relationship Id="rId3" Type="http://schemas.openxmlformats.org/officeDocument/2006/relationships/hyperlink" Target="https://www.facebook.com/caasc.sc" TargetMode="External"/><Relationship Id="rId4" Type="http://schemas.openxmlformats.org/officeDocument/2006/relationships/hyperlink" Target="http://caars.org.br" TargetMode="External"/><Relationship Id="rId9" Type="http://schemas.openxmlformats.org/officeDocument/2006/relationships/hyperlink" Target="https://www.instagram.com/oabrjcaarj/" TargetMode="External"/><Relationship Id="rId26" Type="http://schemas.openxmlformats.org/officeDocument/2006/relationships/hyperlink" Target="https://www.facebook.com/CAAPE.OABPE/" TargetMode="External"/><Relationship Id="rId25" Type="http://schemas.openxmlformats.org/officeDocument/2006/relationships/hyperlink" Target="http://caape.org.br" TargetMode="External"/><Relationship Id="rId28" Type="http://schemas.openxmlformats.org/officeDocument/2006/relationships/hyperlink" Target="https://www.instagram.com/caapiaui/" TargetMode="External"/><Relationship Id="rId27" Type="http://schemas.openxmlformats.org/officeDocument/2006/relationships/hyperlink" Target="http://caapi.org.br" TargetMode="External"/><Relationship Id="rId5" Type="http://schemas.openxmlformats.org/officeDocument/2006/relationships/hyperlink" Target="http://caaes.org.br" TargetMode="External"/><Relationship Id="rId6" Type="http://schemas.openxmlformats.org/officeDocument/2006/relationships/hyperlink" Target="https://www.facebook.com/oabes.espiritosanto/?locale=pt_BR" TargetMode="External"/><Relationship Id="rId29" Type="http://schemas.openxmlformats.org/officeDocument/2006/relationships/hyperlink" Target="http://caarn.org.br" TargetMode="External"/><Relationship Id="rId7" Type="http://schemas.openxmlformats.org/officeDocument/2006/relationships/hyperlink" Target="http://caamg.org.br" TargetMode="External"/><Relationship Id="rId8" Type="http://schemas.openxmlformats.org/officeDocument/2006/relationships/hyperlink" Target="http://caarj.org.br" TargetMode="External"/><Relationship Id="rId31" Type="http://schemas.openxmlformats.org/officeDocument/2006/relationships/hyperlink" Target="http://concad.oab.org.br/" TargetMode="External"/><Relationship Id="rId30" Type="http://schemas.openxmlformats.org/officeDocument/2006/relationships/hyperlink" Target="http://caab.org.br" TargetMode="External"/><Relationship Id="rId11" Type="http://schemas.openxmlformats.org/officeDocument/2006/relationships/hyperlink" Target="https://www.facebook.com/caasc.sc" TargetMode="External"/><Relationship Id="rId33" Type="http://schemas.openxmlformats.org/officeDocument/2006/relationships/hyperlink" Target="http://caaac.org.br" TargetMode="External"/><Relationship Id="rId10" Type="http://schemas.openxmlformats.org/officeDocument/2006/relationships/hyperlink" Target="http://caasp.org.br" TargetMode="External"/><Relationship Id="rId32" Type="http://schemas.openxmlformats.org/officeDocument/2006/relationships/hyperlink" Target="https://www.facebook.com/CFOAB" TargetMode="External"/><Relationship Id="rId13" Type="http://schemas.openxmlformats.org/officeDocument/2006/relationships/hyperlink" Target="http://casag.org.br" TargetMode="External"/><Relationship Id="rId35" Type="http://schemas.openxmlformats.org/officeDocument/2006/relationships/hyperlink" Target="http://caaam.org.br" TargetMode="External"/><Relationship Id="rId12" Type="http://schemas.openxmlformats.org/officeDocument/2006/relationships/hyperlink" Target="http://caadf.org.br" TargetMode="External"/><Relationship Id="rId34" Type="http://schemas.openxmlformats.org/officeDocument/2006/relationships/hyperlink" Target="http://caaap.org.br" TargetMode="External"/><Relationship Id="rId15" Type="http://schemas.openxmlformats.org/officeDocument/2006/relationships/hyperlink" Target="http://caams.org.br" TargetMode="External"/><Relationship Id="rId37" Type="http://schemas.openxmlformats.org/officeDocument/2006/relationships/hyperlink" Target="https://www.instagram.com/caapa.oab/" TargetMode="External"/><Relationship Id="rId14" Type="http://schemas.openxmlformats.org/officeDocument/2006/relationships/hyperlink" Target="https://www.caamt.com.br/" TargetMode="External"/><Relationship Id="rId36" Type="http://schemas.openxmlformats.org/officeDocument/2006/relationships/hyperlink" Target="http://caapara.org.br" TargetMode="External"/><Relationship Id="rId17" Type="http://schemas.openxmlformats.org/officeDocument/2006/relationships/hyperlink" Target="https://www.instagram.com/caatocantins/" TargetMode="External"/><Relationship Id="rId39" Type="http://schemas.openxmlformats.org/officeDocument/2006/relationships/hyperlink" Target="http://caaro.org.br" TargetMode="External"/><Relationship Id="rId16" Type="http://schemas.openxmlformats.org/officeDocument/2006/relationships/hyperlink" Target="http://caato.com.br" TargetMode="External"/><Relationship Id="rId38" Type="http://schemas.openxmlformats.org/officeDocument/2006/relationships/hyperlink" Target="https://www.facebook.com/caapa.oab/?locale=pt_BR" TargetMode="External"/><Relationship Id="rId19" Type="http://schemas.openxmlformats.org/officeDocument/2006/relationships/hyperlink" Target="https://www.facebook.com/CAAParaiba/?locale=pt_BR" TargetMode="External"/><Relationship Id="rId18" Type="http://schemas.openxmlformats.org/officeDocument/2006/relationships/hyperlink" Target="http://caapb.org.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4.25"/>
    <col customWidth="1" min="7" max="7" width="29.0"/>
    <col customWidth="1" min="8" max="8" width="8.75"/>
    <col customWidth="1" min="9" max="9" width="18.0"/>
    <col customWidth="1" min="10" max="10" width="37.38"/>
    <col customWidth="1" min="11" max="11" width="8.75"/>
    <col customWidth="1" min="12" max="12" width="15.0"/>
    <col customWidth="1" min="13" max="13" width="28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/>
      <c r="I1" s="1" t="s">
        <v>5</v>
      </c>
      <c r="J1" s="1"/>
      <c r="L1" s="1" t="s">
        <v>6</v>
      </c>
      <c r="M1" s="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2" t="s">
        <v>11</v>
      </c>
      <c r="E2" s="1"/>
      <c r="F2" s="1" t="s">
        <v>12</v>
      </c>
      <c r="G2" s="2" t="str">
        <f t="shared" ref="G2:G6" si="1">IF(F2="","", "https://instagram.com/" &amp; SUBSTITUTE(F2,"@",""))</f>
        <v>https://instagram.com/caa_parana</v>
      </c>
      <c r="H2" s="1" t="s">
        <v>13</v>
      </c>
      <c r="I2" s="1" t="s">
        <v>14</v>
      </c>
      <c r="J2" s="3" t="str">
        <f>IFERROR(__xludf.DUMMYFUNCTION("IF(I2="""","""",
 ""https://web.facebook.com/"" &amp;
 REGEXREPLACE(I2,""^https?://(www\.)?facebook\.com/"","""")
)
"),"https://web.facebook.com/caixadosadvogadosPR")</f>
        <v>https://web.facebook.com/caixadosadvogadosPR</v>
      </c>
      <c r="K2" s="1" t="s">
        <v>13</v>
      </c>
      <c r="L2" s="1" t="s">
        <v>15</v>
      </c>
      <c r="M2" s="1" t="s">
        <v>15</v>
      </c>
    </row>
    <row r="3" ht="15.75" customHeight="1">
      <c r="A3" s="1" t="s">
        <v>16</v>
      </c>
      <c r="B3" s="1" t="s">
        <v>9</v>
      </c>
      <c r="C3" s="1" t="s">
        <v>17</v>
      </c>
      <c r="D3" s="2" t="s">
        <v>18</v>
      </c>
      <c r="E3" s="1"/>
      <c r="F3" s="1" t="s">
        <v>19</v>
      </c>
      <c r="G3" s="3" t="str">
        <f t="shared" si="1"/>
        <v>https://instagram.com/caasc_santacatarina</v>
      </c>
      <c r="H3" s="1" t="s">
        <v>13</v>
      </c>
      <c r="I3" s="2" t="s">
        <v>20</v>
      </c>
      <c r="J3" s="2" t="str">
        <f>IFERROR(__xludf.DUMMYFUNCTION("IF(I3="""","""",
 ""https://web.facebook.com/"" &amp;
 REGEXREPLACE(I3,""^https?://(www\.)?facebook\.com/"","""")
)
"),"https://web.facebook.com/caasc.sc")</f>
        <v>https://web.facebook.com/caasc.sc</v>
      </c>
      <c r="K3" s="1" t="s">
        <v>13</v>
      </c>
      <c r="L3" s="1" t="s">
        <v>15</v>
      </c>
      <c r="M3" s="1" t="s">
        <v>15</v>
      </c>
    </row>
    <row r="4" ht="15.75" customHeight="1">
      <c r="A4" s="1" t="s">
        <v>21</v>
      </c>
      <c r="B4" s="1" t="s">
        <v>9</v>
      </c>
      <c r="C4" s="1" t="s">
        <v>22</v>
      </c>
      <c r="D4" s="2" t="s">
        <v>23</v>
      </c>
      <c r="E4" s="1"/>
      <c r="F4" s="1" t="s">
        <v>24</v>
      </c>
      <c r="G4" s="3" t="str">
        <f t="shared" si="1"/>
        <v>https://instagram.com/caa.rs</v>
      </c>
      <c r="H4" s="1" t="s">
        <v>13</v>
      </c>
      <c r="I4" s="1" t="s">
        <v>25</v>
      </c>
      <c r="J4" s="2" t="str">
        <f>IFERROR(__xludf.DUMMYFUNCTION("IF(I4="""","""",
 ""https://web.facebook.com/"" &amp;
 REGEXREPLACE(I4,""^https?://(www\.)?facebook\.com/"","""")
)
"),"https://web.facebook.com/caars.daoabrs")</f>
        <v>https://web.facebook.com/caars.daoabrs</v>
      </c>
      <c r="K4" s="1" t="s">
        <v>13</v>
      </c>
      <c r="L4" s="1" t="s">
        <v>15</v>
      </c>
      <c r="M4" s="1" t="s">
        <v>15</v>
      </c>
    </row>
    <row r="5" ht="15.75" customHeight="1">
      <c r="A5" s="1" t="s">
        <v>26</v>
      </c>
      <c r="B5" s="1" t="s">
        <v>27</v>
      </c>
      <c r="C5" s="1" t="s">
        <v>28</v>
      </c>
      <c r="D5" s="2" t="s">
        <v>29</v>
      </c>
      <c r="E5" s="1"/>
      <c r="F5" s="1" t="s">
        <v>30</v>
      </c>
      <c r="G5" s="2" t="str">
        <f t="shared" si="1"/>
        <v>https://instagram.com/caaes</v>
      </c>
      <c r="H5" s="1" t="s">
        <v>13</v>
      </c>
      <c r="I5" s="1" t="s">
        <v>15</v>
      </c>
      <c r="J5" s="3" t="s">
        <v>31</v>
      </c>
      <c r="K5" s="1" t="s">
        <v>13</v>
      </c>
      <c r="L5" s="1" t="s">
        <v>15</v>
      </c>
      <c r="M5" s="1" t="s">
        <v>15</v>
      </c>
    </row>
    <row r="6" ht="15.75" customHeight="1">
      <c r="A6" s="1" t="s">
        <v>32</v>
      </c>
      <c r="B6" s="1" t="s">
        <v>27</v>
      </c>
      <c r="C6" s="1" t="s">
        <v>33</v>
      </c>
      <c r="D6" s="2" t="s">
        <v>34</v>
      </c>
      <c r="E6" s="1"/>
      <c r="F6" s="1" t="s">
        <v>35</v>
      </c>
      <c r="G6" s="2" t="str">
        <f t="shared" si="1"/>
        <v>https://instagram.com/caa_mg</v>
      </c>
      <c r="H6" s="1" t="s">
        <v>13</v>
      </c>
      <c r="I6" s="1" t="s">
        <v>36</v>
      </c>
      <c r="J6" s="3" t="str">
        <f>IFERROR(__xludf.DUMMYFUNCTION("IF(I6="""","""",
 ""https://web.facebook.com/"" &amp;
 REGEXREPLACE(I6,""^https?://(www\.)?facebook\.com/"","""")
)
"),"https://web.facebook.com/caaminas")</f>
        <v>https://web.facebook.com/caaminas</v>
      </c>
      <c r="K6" s="1" t="s">
        <v>13</v>
      </c>
      <c r="L6" s="1" t="s">
        <v>15</v>
      </c>
      <c r="M6" s="1" t="s">
        <v>15</v>
      </c>
    </row>
    <row r="7" ht="15.75" customHeight="1">
      <c r="A7" s="1" t="s">
        <v>37</v>
      </c>
      <c r="B7" s="1" t="s">
        <v>27</v>
      </c>
      <c r="C7" s="1" t="s">
        <v>38</v>
      </c>
      <c r="D7" s="2" t="s">
        <v>39</v>
      </c>
      <c r="E7" s="1"/>
      <c r="F7" s="1" t="s">
        <v>40</v>
      </c>
      <c r="G7" s="3" t="s">
        <v>41</v>
      </c>
      <c r="H7" s="1" t="s">
        <v>13</v>
      </c>
      <c r="I7" s="1" t="s">
        <v>42</v>
      </c>
      <c r="J7" s="3" t="str">
        <f>IFERROR(__xludf.DUMMYFUNCTION("IF(I7="""","""",
 ""https://web.facebook.com/"" &amp;
 REGEXREPLACE(I7,""^https?://(www\.)?facebook\.com/"","""")
)
"),"https://web.facebook.com/caarj")</f>
        <v>https://web.facebook.com/caarj</v>
      </c>
      <c r="K7" s="1" t="s">
        <v>13</v>
      </c>
      <c r="L7" s="1" t="s">
        <v>15</v>
      </c>
      <c r="M7" s="1" t="s">
        <v>15</v>
      </c>
    </row>
    <row r="8" ht="15.75" customHeight="1">
      <c r="A8" s="1" t="s">
        <v>43</v>
      </c>
      <c r="B8" s="1" t="s">
        <v>27</v>
      </c>
      <c r="C8" s="1" t="s">
        <v>44</v>
      </c>
      <c r="D8" s="2" t="s">
        <v>45</v>
      </c>
      <c r="E8" s="1"/>
      <c r="F8" s="1" t="s">
        <v>46</v>
      </c>
      <c r="G8" s="3" t="str">
        <f t="shared" ref="G8:G12" si="2">IF(F8="","", "https://instagram.com/" &amp; SUBSTITUTE(F8,"@",""))</f>
        <v>https://instagram.com/oabcaasp</v>
      </c>
      <c r="H8" s="1" t="s">
        <v>13</v>
      </c>
      <c r="I8" s="1" t="s">
        <v>47</v>
      </c>
      <c r="J8" s="2" t="s">
        <v>20</v>
      </c>
      <c r="K8" s="1" t="s">
        <v>13</v>
      </c>
      <c r="L8" s="1" t="s">
        <v>15</v>
      </c>
      <c r="M8" s="1" t="s">
        <v>15</v>
      </c>
    </row>
    <row r="9" ht="15.75" customHeight="1">
      <c r="A9" s="1" t="s">
        <v>48</v>
      </c>
      <c r="B9" s="1" t="s">
        <v>49</v>
      </c>
      <c r="C9" s="1" t="s">
        <v>50</v>
      </c>
      <c r="D9" s="2" t="s">
        <v>51</v>
      </c>
      <c r="E9" s="1"/>
      <c r="F9" s="1" t="s">
        <v>52</v>
      </c>
      <c r="G9" s="2" t="str">
        <f t="shared" si="2"/>
        <v>https://instagram.com/caa.df</v>
      </c>
      <c r="H9" s="1" t="s">
        <v>13</v>
      </c>
      <c r="I9" s="1" t="s">
        <v>53</v>
      </c>
      <c r="J9" s="3" t="str">
        <f>IFERROR(__xludf.DUMMYFUNCTION("IF(I9="""","""",
 ""https://web.facebook.com/"" &amp;
 REGEXREPLACE(I9,""^https?://(www\.)?facebook\.com/"","""")
)
"),"https://web.facebook.com/caixadeassistenciadf")</f>
        <v>https://web.facebook.com/caixadeassistenciadf</v>
      </c>
      <c r="K9" s="1" t="s">
        <v>13</v>
      </c>
      <c r="L9" s="1" t="s">
        <v>15</v>
      </c>
      <c r="M9" s="1" t="s">
        <v>15</v>
      </c>
    </row>
    <row r="10" ht="15.75" customHeight="1">
      <c r="A10" s="1" t="s">
        <v>54</v>
      </c>
      <c r="B10" s="1" t="s">
        <v>49</v>
      </c>
      <c r="C10" s="1" t="s">
        <v>55</v>
      </c>
      <c r="D10" s="2" t="s">
        <v>56</v>
      </c>
      <c r="E10" s="1"/>
      <c r="F10" s="1" t="s">
        <v>57</v>
      </c>
      <c r="G10" s="2" t="str">
        <f t="shared" si="2"/>
        <v>https://instagram.com/oab_casag</v>
      </c>
      <c r="H10" s="1" t="s">
        <v>13</v>
      </c>
      <c r="I10" s="1" t="s">
        <v>58</v>
      </c>
      <c r="J10" s="3" t="str">
        <f>IFERROR(__xludf.DUMMYFUNCTION("IF(I10="""","""",
 ""https://web.facebook.com/"" &amp;
 REGEXREPLACE(I10,""^https?://(www\.)?facebook\.com/"","""")
)
"),"https://web.facebook.com/casag.go")</f>
        <v>https://web.facebook.com/casag.go</v>
      </c>
      <c r="K10" s="1" t="s">
        <v>13</v>
      </c>
      <c r="L10" s="1" t="s">
        <v>15</v>
      </c>
      <c r="M10" s="1" t="s">
        <v>15</v>
      </c>
    </row>
    <row r="11" ht="15.75" customHeight="1">
      <c r="A11" s="1" t="s">
        <v>59</v>
      </c>
      <c r="B11" s="1" t="s">
        <v>49</v>
      </c>
      <c r="C11" s="1" t="s">
        <v>60</v>
      </c>
      <c r="D11" s="2" t="s">
        <v>61</v>
      </c>
      <c r="E11" s="1"/>
      <c r="F11" s="1" t="s">
        <v>62</v>
      </c>
      <c r="G11" s="2" t="str">
        <f t="shared" si="2"/>
        <v>https://instagram.com/caamt1</v>
      </c>
      <c r="H11" s="1" t="s">
        <v>13</v>
      </c>
      <c r="I11" s="1" t="s">
        <v>63</v>
      </c>
      <c r="J11" s="3" t="str">
        <f>IFERROR(__xludf.DUMMYFUNCTION("IF(I11="""","""",
 ""https://web.facebook.com/"" &amp;
 REGEXREPLACE(I11,""^https?://(www\.)?facebook\.com/"","""")
)
"),"https://web.facebook.com/caaoabmt")</f>
        <v>https://web.facebook.com/caaoabmt</v>
      </c>
      <c r="K11" s="1" t="s">
        <v>13</v>
      </c>
      <c r="L11" s="1" t="s">
        <v>15</v>
      </c>
      <c r="M11" s="1"/>
    </row>
    <row r="12" ht="15.75" customHeight="1">
      <c r="A12" s="1" t="s">
        <v>64</v>
      </c>
      <c r="B12" s="1" t="s">
        <v>49</v>
      </c>
      <c r="C12" s="1" t="s">
        <v>65</v>
      </c>
      <c r="D12" s="2" t="s">
        <v>66</v>
      </c>
      <c r="E12" s="1"/>
      <c r="F12" s="1" t="s">
        <v>67</v>
      </c>
      <c r="G12" s="2" t="str">
        <f t="shared" si="2"/>
        <v>https://instagram.com/caams.oficial</v>
      </c>
      <c r="H12" s="1" t="s">
        <v>13</v>
      </c>
      <c r="I12" s="1" t="s">
        <v>68</v>
      </c>
      <c r="J12" s="3" t="str">
        <f>IFERROR(__xludf.DUMMYFUNCTION("IF(I12="""","""",
 ""https://web.facebook.com/"" &amp;
 REGEXREPLACE(I12,""^https?://(www\.)?facebook\.com/"","""")
)
"),"https://web.facebook.com/caixadosadvogadosms")</f>
        <v>https://web.facebook.com/caixadosadvogadosms</v>
      </c>
      <c r="K12" s="1" t="s">
        <v>13</v>
      </c>
      <c r="L12" s="1" t="s">
        <v>15</v>
      </c>
      <c r="M12" s="1" t="s">
        <v>15</v>
      </c>
    </row>
    <row r="13" ht="15.75" customHeight="1">
      <c r="A13" s="1" t="s">
        <v>69</v>
      </c>
      <c r="B13" s="1" t="s">
        <v>49</v>
      </c>
      <c r="C13" s="1" t="s">
        <v>70</v>
      </c>
      <c r="D13" s="2" t="s">
        <v>71</v>
      </c>
      <c r="E13" s="1"/>
      <c r="F13" s="1" t="s">
        <v>72</v>
      </c>
      <c r="G13" s="3" t="s">
        <v>73</v>
      </c>
      <c r="H13" s="1" t="s">
        <v>13</v>
      </c>
      <c r="I13" s="1" t="s">
        <v>74</v>
      </c>
      <c r="J13" s="2" t="str">
        <f>IFERROR(__xludf.DUMMYFUNCTION("IF(I13="""","""",
 ""https://web.facebook.com/"" &amp;
 REGEXREPLACE(I13,""^https?://(www\.)?facebook\.com/"","""")
)
"),"https://web.facebook.com/caatocantins")</f>
        <v>https://web.facebook.com/caatocantins</v>
      </c>
      <c r="K13" s="1" t="s">
        <v>13</v>
      </c>
      <c r="L13" s="1" t="s">
        <v>15</v>
      </c>
      <c r="M13" s="1" t="s">
        <v>15</v>
      </c>
    </row>
    <row r="14" ht="15.75" customHeight="1">
      <c r="A14" s="1" t="s">
        <v>75</v>
      </c>
      <c r="B14" s="1" t="s">
        <v>76</v>
      </c>
      <c r="C14" s="1" t="s">
        <v>77</v>
      </c>
      <c r="D14" s="2" t="s">
        <v>78</v>
      </c>
      <c r="E14" s="1"/>
      <c r="F14" s="1" t="s">
        <v>79</v>
      </c>
      <c r="G14" s="2" t="str">
        <f t="shared" ref="G14:G19" si="3">IF(F14="","", "https://instagram.com/" &amp; SUBSTITUTE(F14,"@",""))</f>
        <v>https://instagram.com/caa_paraiba</v>
      </c>
      <c r="H14" s="1" t="s">
        <v>13</v>
      </c>
      <c r="I14" s="1" t="s">
        <v>80</v>
      </c>
      <c r="J14" s="3" t="s">
        <v>81</v>
      </c>
      <c r="K14" s="1" t="s">
        <v>13</v>
      </c>
      <c r="L14" s="1" t="s">
        <v>15</v>
      </c>
      <c r="M14" s="1" t="s">
        <v>15</v>
      </c>
    </row>
    <row r="15" ht="15.75" customHeight="1">
      <c r="A15" s="1" t="s">
        <v>82</v>
      </c>
      <c r="B15" s="1" t="s">
        <v>76</v>
      </c>
      <c r="C15" s="1" t="s">
        <v>83</v>
      </c>
      <c r="D15" s="2" t="s">
        <v>84</v>
      </c>
      <c r="E15" s="1"/>
      <c r="F15" s="1" t="s">
        <v>85</v>
      </c>
      <c r="G15" s="3" t="str">
        <f t="shared" si="3"/>
        <v>https://instagram.com/caasergipe</v>
      </c>
      <c r="H15" s="1" t="s">
        <v>13</v>
      </c>
      <c r="I15" s="1" t="s">
        <v>86</v>
      </c>
      <c r="J15" s="2" t="str">
        <f>IFERROR(__xludf.DUMMYFUNCTION("IF(I15="""","""",
 ""https://web.facebook.com/"" &amp;
 REGEXREPLACE(I15,""^https?://(www\.)?facebook\.com/"","""")
)
"),"https://web.facebook.com/CAASergipe")</f>
        <v>https://web.facebook.com/CAASergipe</v>
      </c>
      <c r="K15" s="1" t="s">
        <v>13</v>
      </c>
      <c r="L15" s="1" t="s">
        <v>15</v>
      </c>
      <c r="M15" s="1" t="s">
        <v>15</v>
      </c>
    </row>
    <row r="16" ht="15.75" customHeight="1">
      <c r="A16" s="1" t="s">
        <v>87</v>
      </c>
      <c r="B16" s="1" t="s">
        <v>76</v>
      </c>
      <c r="C16" s="1" t="s">
        <v>88</v>
      </c>
      <c r="D16" s="2" t="s">
        <v>89</v>
      </c>
      <c r="E16" s="1"/>
      <c r="F16" s="1" t="s">
        <v>90</v>
      </c>
      <c r="G16" s="2" t="str">
        <f t="shared" si="3"/>
        <v>https://instagram.com/caa.al</v>
      </c>
      <c r="H16" s="1" t="s">
        <v>13</v>
      </c>
      <c r="I16" s="1" t="s">
        <v>91</v>
      </c>
      <c r="J16" s="3" t="str">
        <f>IFERROR(__xludf.DUMMYFUNCTION("IF(I16="""","""",
 ""https://web.facebook.com/"" &amp;
 REGEXREPLACE(I16,""^https?://(www\.)?facebook\.com/"","""")
)
"),"https://web.facebook.com/caa.alagoas")</f>
        <v>https://web.facebook.com/caa.alagoas</v>
      </c>
      <c r="K16" s="1" t="s">
        <v>13</v>
      </c>
      <c r="L16" s="1" t="s">
        <v>15</v>
      </c>
      <c r="M16" s="1" t="s">
        <v>15</v>
      </c>
    </row>
    <row r="17" ht="15.75" customHeight="1">
      <c r="A17" s="1" t="s">
        <v>92</v>
      </c>
      <c r="B17" s="1" t="s">
        <v>76</v>
      </c>
      <c r="C17" s="1" t="s">
        <v>93</v>
      </c>
      <c r="D17" s="2" t="s">
        <v>94</v>
      </c>
      <c r="E17" s="1"/>
      <c r="F17" s="1" t="s">
        <v>95</v>
      </c>
      <c r="G17" s="2" t="str">
        <f t="shared" si="3"/>
        <v>https://instagram.com/caace.oab</v>
      </c>
      <c r="H17" s="1" t="s">
        <v>13</v>
      </c>
      <c r="I17" s="1" t="s">
        <v>96</v>
      </c>
      <c r="J17" s="3" t="str">
        <f>IFERROR(__xludf.DUMMYFUNCTION("IF(I17="""","""",
 ""https://web.facebook.com/"" &amp;
 REGEXREPLACE(I17,""^https?://(www\.)?facebook\.com/"","""")
)
"),"https://web.facebook.com/caace.oab")</f>
        <v>https://web.facebook.com/caace.oab</v>
      </c>
      <c r="K17" s="1" t="s">
        <v>13</v>
      </c>
      <c r="L17" s="1" t="s">
        <v>15</v>
      </c>
      <c r="M17" s="1" t="s">
        <v>15</v>
      </c>
    </row>
    <row r="18" ht="15.75" customHeight="1">
      <c r="A18" s="1" t="s">
        <v>97</v>
      </c>
      <c r="B18" s="1" t="s">
        <v>76</v>
      </c>
      <c r="C18" s="1" t="s">
        <v>98</v>
      </c>
      <c r="D18" s="2" t="s">
        <v>99</v>
      </c>
      <c r="E18" s="1"/>
      <c r="F18" s="1" t="s">
        <v>100</v>
      </c>
      <c r="G18" s="2" t="str">
        <f t="shared" si="3"/>
        <v>https://instagram.com/caama.oabma</v>
      </c>
      <c r="H18" s="1" t="s">
        <v>13</v>
      </c>
      <c r="I18" s="1" t="s">
        <v>101</v>
      </c>
      <c r="J18" s="3" t="s">
        <v>102</v>
      </c>
      <c r="K18" s="1" t="s">
        <v>13</v>
      </c>
      <c r="L18" s="1" t="s">
        <v>15</v>
      </c>
      <c r="M18" s="1" t="s">
        <v>15</v>
      </c>
    </row>
    <row r="19" ht="15.75" customHeight="1">
      <c r="A19" s="1" t="s">
        <v>103</v>
      </c>
      <c r="B19" s="1" t="s">
        <v>76</v>
      </c>
      <c r="C19" s="1" t="s">
        <v>104</v>
      </c>
      <c r="D19" s="2" t="s">
        <v>105</v>
      </c>
      <c r="E19" s="1"/>
      <c r="F19" s="1" t="s">
        <v>106</v>
      </c>
      <c r="G19" s="2" t="str">
        <f t="shared" si="3"/>
        <v>https://instagram.com/caape_oab</v>
      </c>
      <c r="H19" s="1" t="s">
        <v>13</v>
      </c>
      <c r="I19" s="1" t="s">
        <v>107</v>
      </c>
      <c r="J19" s="3" t="s">
        <v>108</v>
      </c>
      <c r="K19" s="1" t="s">
        <v>13</v>
      </c>
      <c r="L19" s="1" t="s">
        <v>15</v>
      </c>
      <c r="M19" s="1" t="s">
        <v>15</v>
      </c>
    </row>
    <row r="20" ht="15.75" customHeight="1">
      <c r="A20" s="1" t="s">
        <v>109</v>
      </c>
      <c r="B20" s="1" t="s">
        <v>76</v>
      </c>
      <c r="C20" s="1" t="s">
        <v>110</v>
      </c>
      <c r="D20" s="2" t="s">
        <v>111</v>
      </c>
      <c r="E20" s="1"/>
      <c r="F20" s="1" t="s">
        <v>112</v>
      </c>
      <c r="G20" s="3" t="s">
        <v>113</v>
      </c>
      <c r="H20" s="1" t="s">
        <v>13</v>
      </c>
      <c r="I20" s="1" t="s">
        <v>114</v>
      </c>
      <c r="J20" s="3" t="str">
        <f>IFERROR(__xludf.DUMMYFUNCTION("IF(I20="""","""",
 ""https://web.facebook.com/"" &amp;
 REGEXREPLACE(I20,""^https?://(www\.)?facebook\.com/"","""")
)
"),"https://web.facebook.com/caapioab")</f>
        <v>https://web.facebook.com/caapioab</v>
      </c>
      <c r="K20" s="1" t="s">
        <v>13</v>
      </c>
      <c r="L20" s="1" t="s">
        <v>15</v>
      </c>
      <c r="M20" s="1" t="s">
        <v>15</v>
      </c>
    </row>
    <row r="21" ht="15.75" customHeight="1">
      <c r="A21" s="1" t="s">
        <v>115</v>
      </c>
      <c r="B21" s="1" t="s">
        <v>76</v>
      </c>
      <c r="C21" s="1" t="s">
        <v>116</v>
      </c>
      <c r="D21" s="2" t="s">
        <v>117</v>
      </c>
      <c r="E21" s="1"/>
      <c r="F21" s="1" t="s">
        <v>118</v>
      </c>
      <c r="G21" s="3" t="str">
        <f t="shared" ref="G21:G26" si="4">IF(F21="","", "https://instagram.com/" &amp; SUBSTITUTE(F21,"@",""))</f>
        <v>https://instagram.com/caarn.oab</v>
      </c>
      <c r="H21" s="1" t="s">
        <v>13</v>
      </c>
      <c r="I21" s="1" t="s">
        <v>119</v>
      </c>
      <c r="J21" s="3" t="str">
        <f>IFERROR(__xludf.DUMMYFUNCTION("IF(I21="""","""",
 ""https://web.facebook.com/"" &amp;
 REGEXREPLACE(I21,""^https?://(www\.)?facebook\.com/"","""")
)
"),"https://web.facebook.com/caarn.oab")</f>
        <v>https://web.facebook.com/caarn.oab</v>
      </c>
      <c r="K21" s="1" t="s">
        <v>13</v>
      </c>
      <c r="L21" s="1" t="s">
        <v>15</v>
      </c>
      <c r="M21" s="1" t="s">
        <v>15</v>
      </c>
    </row>
    <row r="22" ht="15.75" customHeight="1">
      <c r="A22" s="1" t="s">
        <v>120</v>
      </c>
      <c r="B22" s="1" t="s">
        <v>76</v>
      </c>
      <c r="C22" s="1" t="s">
        <v>121</v>
      </c>
      <c r="D22" s="2" t="s">
        <v>122</v>
      </c>
      <c r="E22" s="1"/>
      <c r="F22" s="1" t="s">
        <v>123</v>
      </c>
      <c r="G22" s="2" t="str">
        <f t="shared" si="4"/>
        <v>https://instagram.com/caab_oficial</v>
      </c>
      <c r="H22" s="1" t="s">
        <v>13</v>
      </c>
      <c r="I22" s="1" t="s">
        <v>124</v>
      </c>
      <c r="J22" s="3" t="str">
        <f>IFERROR(__xludf.DUMMYFUNCTION("IF(I22="""","""",
 ""https://web.facebook.com/"" &amp;
 REGEXREPLACE(I22,""^https?://(www\.)?facebook\.com/"","""")
)
"),"https://web.facebook.com/caab.oficial")</f>
        <v>https://web.facebook.com/caab.oficial</v>
      </c>
      <c r="K22" s="1" t="s">
        <v>13</v>
      </c>
      <c r="L22" s="1" t="s">
        <v>15</v>
      </c>
      <c r="M22" s="1" t="s">
        <v>15</v>
      </c>
    </row>
    <row r="23" ht="15.75" customHeight="1">
      <c r="A23" s="1" t="s">
        <v>125</v>
      </c>
      <c r="B23" s="1" t="s">
        <v>126</v>
      </c>
      <c r="C23" s="1" t="s">
        <v>127</v>
      </c>
      <c r="D23" s="2" t="s">
        <v>128</v>
      </c>
      <c r="E23" s="1"/>
      <c r="F23" s="1" t="s">
        <v>129</v>
      </c>
      <c r="G23" s="2" t="str">
        <f t="shared" si="4"/>
        <v>https://instagram.com/concadoficial</v>
      </c>
      <c r="H23" s="1" t="s">
        <v>13</v>
      </c>
      <c r="I23" s="1" t="s">
        <v>130</v>
      </c>
      <c r="J23" s="3" t="s">
        <v>131</v>
      </c>
      <c r="K23" s="1" t="s">
        <v>13</v>
      </c>
      <c r="L23" s="1" t="s">
        <v>15</v>
      </c>
      <c r="M23" s="1" t="s">
        <v>132</v>
      </c>
    </row>
    <row r="24" ht="15.75" customHeight="1">
      <c r="A24" s="1" t="s">
        <v>133</v>
      </c>
      <c r="B24" s="1" t="s">
        <v>134</v>
      </c>
      <c r="C24" s="1" t="s">
        <v>135</v>
      </c>
      <c r="D24" s="2" t="s">
        <v>136</v>
      </c>
      <c r="E24" s="1"/>
      <c r="F24" s="1" t="s">
        <v>137</v>
      </c>
      <c r="G24" s="2" t="str">
        <f t="shared" si="4"/>
        <v>https://instagram.com/caaac.oficial</v>
      </c>
      <c r="H24" s="1" t="s">
        <v>13</v>
      </c>
      <c r="I24" s="1" t="s">
        <v>138</v>
      </c>
      <c r="J24" s="3" t="str">
        <f>IFERROR(__xludf.DUMMYFUNCTION("IF(I24="""","""",
 ""https://web.facebook.com/"" &amp;
 REGEXREPLACE(I24,""^https?://(www\.)?facebook\.com/"","""")
)
"),"https://web.facebook.com/caaac.oficial")</f>
        <v>https://web.facebook.com/caaac.oficial</v>
      </c>
      <c r="K24" s="1" t="s">
        <v>13</v>
      </c>
      <c r="L24" s="1" t="s">
        <v>15</v>
      </c>
      <c r="M24" s="1" t="s">
        <v>15</v>
      </c>
    </row>
    <row r="25" ht="15.75" customHeight="1">
      <c r="A25" s="1" t="s">
        <v>139</v>
      </c>
      <c r="B25" s="1" t="s">
        <v>134</v>
      </c>
      <c r="C25" s="1" t="s">
        <v>140</v>
      </c>
      <c r="D25" s="2" t="s">
        <v>141</v>
      </c>
      <c r="E25" s="1"/>
      <c r="F25" s="1" t="s">
        <v>142</v>
      </c>
      <c r="G25" s="2" t="str">
        <f t="shared" si="4"/>
        <v>https://instagram.com/caixadeassistenciadosadv.ap</v>
      </c>
      <c r="H25" s="1" t="s">
        <v>13</v>
      </c>
      <c r="I25" s="1" t="s">
        <v>143</v>
      </c>
      <c r="J25" s="3" t="str">
        <f>IFERROR(__xludf.DUMMYFUNCTION("IF(I25="""","""",
 ""https://web.facebook.com/"" &amp;
 REGEXREPLACE(I25,""^https?://(www\.)?facebook\.com/"","""")
)
"),"https://web.facebook.com/caaamapa")</f>
        <v>https://web.facebook.com/caaamapa</v>
      </c>
      <c r="K25" s="1" t="s">
        <v>13</v>
      </c>
      <c r="L25" s="1" t="s">
        <v>15</v>
      </c>
      <c r="M25" s="1" t="s">
        <v>15</v>
      </c>
    </row>
    <row r="26" ht="15.75" customHeight="1">
      <c r="A26" s="1" t="s">
        <v>144</v>
      </c>
      <c r="B26" s="1" t="s">
        <v>134</v>
      </c>
      <c r="C26" s="1" t="s">
        <v>145</v>
      </c>
      <c r="D26" s="2" t="s">
        <v>146</v>
      </c>
      <c r="E26" s="1"/>
      <c r="F26" s="1" t="s">
        <v>147</v>
      </c>
      <c r="G26" s="2" t="str">
        <f t="shared" si="4"/>
        <v>https://instagram.com/caaamazonas</v>
      </c>
      <c r="H26" s="1" t="s">
        <v>13</v>
      </c>
      <c r="I26" s="1" t="s">
        <v>148</v>
      </c>
      <c r="J26" s="3" t="str">
        <f>IFERROR(__xludf.DUMMYFUNCTION("IF(I26="""","""",
 ""https://web.facebook.com/"" &amp;
 REGEXREPLACE(I26,""^https?://(www\.)?facebook\.com/"","""")
)
"),"https://web.facebook.com/caaamazonas")</f>
        <v>https://web.facebook.com/caaamazonas</v>
      </c>
      <c r="K26" s="1" t="s">
        <v>13</v>
      </c>
      <c r="L26" s="1" t="s">
        <v>15</v>
      </c>
      <c r="M26" s="1" t="s">
        <v>15</v>
      </c>
    </row>
    <row r="27" ht="15.75" customHeight="1">
      <c r="A27" s="1" t="s">
        <v>149</v>
      </c>
      <c r="B27" s="1" t="s">
        <v>134</v>
      </c>
      <c r="C27" s="1" t="s">
        <v>150</v>
      </c>
      <c r="D27" s="2" t="s">
        <v>151</v>
      </c>
      <c r="E27" s="1"/>
      <c r="F27" s="1" t="s">
        <v>152</v>
      </c>
      <c r="G27" s="2" t="s">
        <v>153</v>
      </c>
      <c r="H27" s="1" t="s">
        <v>13</v>
      </c>
      <c r="I27" s="1" t="s">
        <v>154</v>
      </c>
      <c r="J27" s="3" t="s">
        <v>155</v>
      </c>
      <c r="K27" s="1" t="s">
        <v>13</v>
      </c>
      <c r="L27" s="1" t="s">
        <v>15</v>
      </c>
      <c r="M27" s="1" t="s">
        <v>15</v>
      </c>
    </row>
    <row r="28" ht="15.75" customHeight="1">
      <c r="A28" s="1" t="s">
        <v>156</v>
      </c>
      <c r="B28" s="1" t="s">
        <v>134</v>
      </c>
      <c r="C28" s="1" t="s">
        <v>157</v>
      </c>
      <c r="D28" s="2" t="s">
        <v>158</v>
      </c>
      <c r="E28" s="1"/>
      <c r="F28" s="1" t="s">
        <v>159</v>
      </c>
      <c r="G28" s="3" t="str">
        <f>IF(F28="","", "https://instagram.com/" &amp; SUBSTITUTE(F28,"@",""))</f>
        <v>https://instagram.com/caaro_rondonia</v>
      </c>
      <c r="H28" s="1" t="s">
        <v>13</v>
      </c>
      <c r="I28" s="1" t="s">
        <v>160</v>
      </c>
      <c r="J28" s="2" t="str">
        <f>IFERROR(__xludf.DUMMYFUNCTION("IF(I28="""","""",
 ""https://web.facebook.com/"" &amp;
 REGEXREPLACE(I28,""^https?://(www\.)?facebook\.com/"","""")
)
"),"https://web.facebook.com/caarondonia")</f>
        <v>https://web.facebook.com/caarondonia</v>
      </c>
      <c r="K28" s="1" t="s">
        <v>13</v>
      </c>
      <c r="L28" s="1" t="s">
        <v>15</v>
      </c>
      <c r="M28" s="1" t="s">
        <v>15</v>
      </c>
    </row>
    <row r="29" ht="15.75" customHeight="1">
      <c r="A29" s="1" t="s">
        <v>161</v>
      </c>
      <c r="B29" s="1" t="s">
        <v>134</v>
      </c>
      <c r="C29" s="1" t="s">
        <v>162</v>
      </c>
      <c r="D29" s="2" t="s">
        <v>163</v>
      </c>
      <c r="E29" s="1"/>
      <c r="F29" s="1" t="s">
        <v>164</v>
      </c>
      <c r="G29" s="3" t="s">
        <v>165</v>
      </c>
      <c r="H29" s="1" t="s">
        <v>13</v>
      </c>
      <c r="I29" s="1" t="s">
        <v>166</v>
      </c>
      <c r="J29" s="2" t="str">
        <f>IFERROR(__xludf.DUMMYFUNCTION("IF(I29="""","""",
 ""https://web.facebook.com/"" &amp;
 REGEXREPLACE(I29,""^https?://(www\.)?facebook\.com/"","""")
)
"),"https://web.facebook.com/CAARORAIMA")</f>
        <v>https://web.facebook.com/CAARORAIMA</v>
      </c>
      <c r="K29" s="1" t="s">
        <v>13</v>
      </c>
      <c r="L29" s="1" t="s">
        <v>15</v>
      </c>
      <c r="M29" s="1" t="s">
        <v>15</v>
      </c>
    </row>
    <row r="30" ht="15.75" customHeight="1">
      <c r="G30" s="4"/>
    </row>
    <row r="31" ht="15.75" customHeight="1"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00">
    <sortState ref="A1:M1000">
      <sortCondition descending="1" ref="B1:B1000"/>
    </sortState>
  </autoFilter>
  <dataValidations>
    <dataValidation type="list" allowBlank="1" showErrorMessage="1" sqref="H2:H29 K2:K29">
      <formula1>"🕵️‍♂️,🚫,🤖"</formula1>
    </dataValidation>
  </dataValidations>
  <hyperlinks>
    <hyperlink r:id="rId1" ref="D2"/>
    <hyperlink r:id="rId2" ref="D3"/>
    <hyperlink r:id="rId3" ref="I3"/>
    <hyperlink r:id="rId4" ref="D4"/>
    <hyperlink r:id="rId5" ref="D5"/>
    <hyperlink r:id="rId6" ref="J5"/>
    <hyperlink r:id="rId7" ref="D6"/>
    <hyperlink r:id="rId8" ref="D7"/>
    <hyperlink r:id="rId9" ref="G7"/>
    <hyperlink r:id="rId10" ref="D8"/>
    <hyperlink r:id="rId11" ref="J8"/>
    <hyperlink r:id="rId12" ref="D9"/>
    <hyperlink r:id="rId13" ref="D10"/>
    <hyperlink r:id="rId14" ref="D11"/>
    <hyperlink r:id="rId15" ref="D12"/>
    <hyperlink r:id="rId16" ref="D13"/>
    <hyperlink r:id="rId17" ref="G13"/>
    <hyperlink r:id="rId18" ref="D14"/>
    <hyperlink r:id="rId19" ref="J14"/>
    <hyperlink r:id="rId20" ref="D15"/>
    <hyperlink r:id="rId21" ref="D16"/>
    <hyperlink r:id="rId22" ref="D17"/>
    <hyperlink r:id="rId23" ref="D18"/>
    <hyperlink r:id="rId24" ref="J18"/>
    <hyperlink r:id="rId25" ref="D19"/>
    <hyperlink r:id="rId26" ref="J19"/>
    <hyperlink r:id="rId27" ref="D20"/>
    <hyperlink r:id="rId28" ref="G20"/>
    <hyperlink r:id="rId29" ref="D21"/>
    <hyperlink r:id="rId30" ref="D22"/>
    <hyperlink r:id="rId31" ref="D23"/>
    <hyperlink r:id="rId32" ref="J23"/>
    <hyperlink r:id="rId33" ref="D24"/>
    <hyperlink r:id="rId34" ref="D25"/>
    <hyperlink r:id="rId35" ref="D26"/>
    <hyperlink r:id="rId36" ref="D27"/>
    <hyperlink r:id="rId37" ref="G27"/>
    <hyperlink r:id="rId38" ref="J27"/>
    <hyperlink r:id="rId39" ref="D28"/>
    <hyperlink r:id="rId40" ref="D29"/>
    <hyperlink r:id="rId41" ref="G29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6" width="12.63"/>
  </cols>
  <sheetData>
    <row r="1" ht="15.75" customHeight="1">
      <c r="A1" s="1" t="s">
        <v>167</v>
      </c>
      <c r="B1" s="1" t="s">
        <v>168</v>
      </c>
    </row>
    <row r="2" ht="15.75" customHeight="1">
      <c r="A2" s="5" t="s">
        <v>43</v>
      </c>
      <c r="B2" s="6">
        <v>404461.0</v>
      </c>
    </row>
    <row r="3" ht="15.75" customHeight="1">
      <c r="A3" s="7" t="s">
        <v>37</v>
      </c>
      <c r="B3" s="8">
        <v>172504.0</v>
      </c>
    </row>
    <row r="4" ht="15.75" customHeight="1">
      <c r="A4" s="7" t="s">
        <v>32</v>
      </c>
      <c r="B4" s="8">
        <v>158161.0</v>
      </c>
    </row>
    <row r="5" ht="15.75" customHeight="1">
      <c r="A5" s="7" t="s">
        <v>21</v>
      </c>
      <c r="B5" s="8">
        <v>104135.0</v>
      </c>
    </row>
    <row r="6" ht="15.75" customHeight="1">
      <c r="A6" s="5" t="s">
        <v>8</v>
      </c>
      <c r="B6" s="6">
        <v>100639.0</v>
      </c>
    </row>
    <row r="7" ht="15.75" customHeight="1">
      <c r="A7" s="7" t="s">
        <v>120</v>
      </c>
      <c r="B7" s="8">
        <v>69474.0</v>
      </c>
    </row>
    <row r="8" ht="15.75" customHeight="1">
      <c r="A8" s="7" t="s">
        <v>48</v>
      </c>
      <c r="B8" s="8">
        <v>62686.0</v>
      </c>
    </row>
    <row r="9" ht="15.75" customHeight="1">
      <c r="A9" s="7" t="s">
        <v>54</v>
      </c>
      <c r="B9" s="8">
        <v>61767.0</v>
      </c>
    </row>
    <row r="10" ht="15.75" customHeight="1">
      <c r="A10" s="5" t="s">
        <v>16</v>
      </c>
      <c r="B10" s="6">
        <v>60046.0</v>
      </c>
    </row>
    <row r="11" ht="15.75" customHeight="1">
      <c r="A11" s="5" t="s">
        <v>103</v>
      </c>
      <c r="B11" s="6">
        <v>48093.0</v>
      </c>
    </row>
    <row r="12" ht="15.75" customHeight="1">
      <c r="A12" s="5" t="s">
        <v>92</v>
      </c>
      <c r="B12" s="6">
        <v>43456.0</v>
      </c>
    </row>
    <row r="13" ht="15.75" customHeight="1">
      <c r="A13" s="5" t="s">
        <v>149</v>
      </c>
      <c r="B13" s="6">
        <v>32364.0</v>
      </c>
    </row>
    <row r="14" ht="15.75" customHeight="1">
      <c r="A14" s="5" t="s">
        <v>26</v>
      </c>
      <c r="B14" s="6">
        <v>30821.0</v>
      </c>
    </row>
    <row r="15" ht="15.75" customHeight="1">
      <c r="A15" s="7" t="s">
        <v>59</v>
      </c>
      <c r="B15" s="8">
        <v>29377.0</v>
      </c>
    </row>
    <row r="16" ht="15.75" customHeight="1">
      <c r="A16" s="5" t="s">
        <v>97</v>
      </c>
      <c r="B16" s="6">
        <v>27952.0</v>
      </c>
    </row>
    <row r="17" ht="15.75" customHeight="1">
      <c r="A17" s="7" t="s">
        <v>75</v>
      </c>
      <c r="B17" s="8">
        <v>24226.0</v>
      </c>
    </row>
    <row r="18" ht="15.75" customHeight="1">
      <c r="A18" s="5" t="s">
        <v>64</v>
      </c>
      <c r="B18" s="6">
        <v>21629.0</v>
      </c>
    </row>
    <row r="19" ht="15.75" customHeight="1">
      <c r="A19" s="7" t="s">
        <v>109</v>
      </c>
      <c r="B19" s="8">
        <v>19865.0</v>
      </c>
    </row>
    <row r="20" ht="15.75" customHeight="1">
      <c r="A20" s="5" t="s">
        <v>115</v>
      </c>
      <c r="B20" s="6">
        <v>18553.0</v>
      </c>
    </row>
    <row r="21" ht="15.75" customHeight="1">
      <c r="A21" s="7" t="s">
        <v>144</v>
      </c>
      <c r="B21" s="8">
        <v>18459.0</v>
      </c>
    </row>
    <row r="22" ht="15.75" customHeight="1">
      <c r="A22" s="5" t="s">
        <v>87</v>
      </c>
      <c r="B22" s="6">
        <v>17250.0</v>
      </c>
    </row>
    <row r="23" ht="15.75" customHeight="1">
      <c r="A23" s="7" t="s">
        <v>82</v>
      </c>
      <c r="B23" s="8">
        <v>14866.0</v>
      </c>
    </row>
    <row r="24" ht="15.75" customHeight="1">
      <c r="A24" s="7" t="s">
        <v>156</v>
      </c>
      <c r="B24" s="8">
        <v>12596.0</v>
      </c>
    </row>
    <row r="25" ht="15.75" customHeight="1">
      <c r="A25" s="7" t="s">
        <v>69</v>
      </c>
      <c r="B25" s="8">
        <v>11621.0</v>
      </c>
    </row>
    <row r="26" ht="15.75" customHeight="1">
      <c r="A26" s="5" t="s">
        <v>139</v>
      </c>
      <c r="B26" s="6">
        <v>5056.0</v>
      </c>
    </row>
    <row r="27" ht="15.75" customHeight="1">
      <c r="A27" s="7" t="s">
        <v>133</v>
      </c>
      <c r="B27" s="8">
        <v>4736.0</v>
      </c>
    </row>
    <row r="28" ht="15.75" customHeight="1">
      <c r="A28" s="5" t="s">
        <v>161</v>
      </c>
      <c r="B28" s="6">
        <v>3479.0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997">
    <sortState ref="A1:B997">
      <sortCondition ref="A1:A997"/>
      <sortCondition descending="1" ref="B1:B997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